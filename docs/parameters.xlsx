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scription" sheetId="1" state="visible" r:id="rId3"/>
    <sheet name="General" sheetId="2" state="visible" r:id="rId4"/>
    <sheet name="Power" sheetId="3" state="visible" r:id="rId5"/>
    <sheet name="Mean Consumption" sheetId="4" state="visible" r:id="rId6"/>
    <sheet name="Data" sheetId="5" state="visible" r:id="rId7"/>
    <sheet name="Attitu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<sst xmlns="http://schemas.openxmlformats.org/spreadsheetml/2006/main" count="222" uniqueCount="153">
  <si>
    <t xml:space="preserve">DIGITAL TWIN PARAMETERS</t>
  </si>
  <si>
    <t xml:space="preserve">Mission</t>
  </si>
  <si>
    <t xml:space="preserve">CHESS</t>
  </si>
  <si>
    <t xml:space="preserve">University</t>
  </si>
  <si>
    <t xml:space="preserve">EPFL</t>
  </si>
  <si>
    <t xml:space="preserve">Description:</t>
  </si>
  <si>
    <t xml:space="preserve">This document gathers values and corresponding sources for the parameters used in the Digital Twin Simulatin of the CHESS Cubesat.</t>
  </si>
  <si>
    <t xml:space="preserve">The different excel sheets gather the parameters by category.</t>
  </si>
  <si>
    <t xml:space="preserve">Last Updated</t>
  </si>
  <si>
    <t xml:space="preserve">General</t>
  </si>
  <si>
    <t xml:space="preserve">Name</t>
  </si>
  <si>
    <t xml:space="preserve">Value</t>
  </si>
  <si>
    <t xml:space="preserve">Unit</t>
  </si>
  <si>
    <t xml:space="preserve">Description</t>
  </si>
  <si>
    <t xml:space="preserve">Source</t>
  </si>
  <si>
    <t xml:space="preserve">Drag Coefficient</t>
  </si>
  <si>
    <t xml:space="preserve">Coefficient used to include drag forces in the propagation</t>
  </si>
  <si>
    <t xml:space="preserve">typical value for LEO satellites</t>
  </si>
  <si>
    <t xml:space="preserve">Satellite Mass</t>
  </si>
  <si>
    <t xml:space="preserve">kg</t>
  </si>
  <si>
    <t xml:space="preserve">Mass Budget</t>
  </si>
  <si>
    <t xml:space="preserve">Initial Operating Mode</t>
  </si>
  <si>
    <t xml:space="preserve">IDLE</t>
  </si>
  <si>
    <t xml:space="preserve">IDLE is the "neutral" mode so it makes sense to start from this one</t>
  </si>
  <si>
    <t xml:space="preserve">Cross Section Area</t>
  </si>
  <si>
    <r>
      <rPr>
        <sz val="11"/>
        <color theme="1"/>
        <rFont val="Calibri"/>
        <family val="2"/>
        <charset val="1"/>
      </rPr>
      <t xml:space="preserve">m</t>
    </r>
    <r>
      <rPr>
        <vertAlign val="superscript"/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</si>
  <si>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Average cross section used to compute drag forces in the propagation.
Initial Calculations: 
- solar panels dimensions: 83mm * 325mm * 2.5 mm
- face area of 4 solar panels: 0.1079 m</t>
    </r>
    <r>
      <rPr>
        <vertAlign val="superscript"/>
        <sz val="11"/>
        <color theme="1"/>
        <rFont val="Calibri"/>
        <family val="2"/>
        <charset val="1"/>
      </rPr>
      <t xml:space="preserve">2
</t>
    </r>
    <r>
      <rPr>
        <sz val="11"/>
        <color theme="1"/>
        <rFont val="Calibri"/>
        <family val="2"/>
        <charset val="1"/>
      </rPr>
      <t xml:space="preserve">- thickness on 1 direction: 2.5mm * 83 mm + 2.5mm * 325mm * 2 = 0.0018325 m</t>
    </r>
    <r>
      <rPr>
        <vertAlign val="superscript"/>
        <sz val="11"/>
        <color theme="1"/>
        <rFont val="Calibri"/>
        <family val="2"/>
        <charset val="1"/>
      </rPr>
      <t xml:space="preserve">2
</t>
    </r>
    <r>
      <rPr>
        <sz val="11"/>
        <color theme="1"/>
        <rFont val="Calibri"/>
        <family val="2"/>
        <charset val="1"/>
      </rPr>
      <t xml:space="preserve">
Max cross section: 10 cm x 10 cm + solar panels = 0.01 + 0.1079 = 0.1179 m</t>
    </r>
    <r>
      <rPr>
        <vertAlign val="superscript"/>
        <sz val="11"/>
        <color theme="1"/>
        <rFont val="Calibri"/>
        <family val="2"/>
        <charset val="1"/>
      </rPr>
      <t xml:space="preserve">2
</t>
    </r>
    <r>
      <rPr>
        <sz val="11"/>
        <color theme="1"/>
        <rFont val="Calibri"/>
        <family val="2"/>
        <charset val="1"/>
      </rPr>
      <t xml:space="preserve">Min cross section: 10cm x 30cm + solar panels = 0.03 + 0.0018325 = 0.0318325 m</t>
    </r>
    <r>
      <rPr>
        <vertAlign val="superscript"/>
        <sz val="11"/>
        <color theme="1"/>
        <rFont val="Calibri"/>
        <family val="2"/>
        <charset val="1"/>
      </rPr>
      <t xml:space="preserve">2
</t>
    </r>
    <r>
      <rPr>
        <sz val="11"/>
        <color theme="1"/>
        <rFont val="Calibri"/>
        <family val="2"/>
        <charset val="1"/>
      </rPr>
      <t xml:space="preserve">Average cross section: 0.074865 m</t>
    </r>
    <r>
      <rPr>
        <vertAlign val="superscript"/>
        <sz val="11"/>
        <color theme="1"/>
        <rFont val="Calibri"/>
        <family val="2"/>
        <charset val="1"/>
      </rPr>
      <t xml:space="preserve">2
</t>
    </r>
    <r>
      <rPr>
        <sz val="11"/>
        <color theme="1"/>
        <rFont val="Calibri"/>
        <family val="2"/>
        <charset val="1"/>
      </rPr>
      <t xml:space="preserve">
However, we later decided to use a cross section calculate with the DRAMA software (tool named CROC for CROss section of Complex Bodies). The obtained result (0.084 m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 simulates a "randomly tumbling" satellite.</t>
    </r>
  </si>
  <si>
    <t xml:space="preserve">DRAMA software</t>
  </si>
  <si>
    <t xml:space="preserve">Baseline Orbit: SMA</t>
  </si>
  <si>
    <t xml:space="preserve">km</t>
  </si>
  <si>
    <t xml:space="preserve">Chosen so that the altitude is 500km</t>
  </si>
  <si>
    <t xml:space="preserve">MDD</t>
  </si>
  <si>
    <t xml:space="preserve">Baseline Orbit: ECC</t>
  </si>
  <si>
    <t xml:space="preserve">Circular orbit</t>
  </si>
  <si>
    <t xml:space="preserve">Baseline Orbit: INC</t>
  </si>
  <si>
    <t xml:space="preserve">deg</t>
  </si>
  <si>
    <t xml:space="preserve">Based on the chosen SMA and the ECC, this is the only value that allows for a sun-synchronous orbit</t>
  </si>
  <si>
    <t xml:space="preserve">Baseline Orbit: AOP</t>
  </si>
  <si>
    <t xml:space="preserve">Random for now.</t>
  </si>
  <si>
    <t xml:space="preserve">Baseline Orbit: RAAN</t>
  </si>
  <si>
    <t xml:space="preserve">Baseline Orbit: TA</t>
  </si>
  <si>
    <t xml:space="preserve">Lausanne GS: latitude</t>
  </si>
  <si>
    <t xml:space="preserve">Lausanne GS: longitude</t>
  </si>
  <si>
    <t xml:space="preserve">Lausanne GS: min elevation angle</t>
  </si>
  <si>
    <t xml:space="preserve">Power System</t>
  </si>
  <si>
    <t xml:space="preserve">Solar flux</t>
  </si>
  <si>
    <r>
      <rPr>
        <sz val="11"/>
        <color theme="1"/>
        <rFont val="Calibri"/>
        <family val="2"/>
        <charset val="1"/>
      </rPr>
      <t xml:space="preserve">W/m</t>
    </r>
    <r>
      <rPr>
        <vertAlign val="superscript"/>
        <sz val="11"/>
        <color theme="1"/>
        <rFont val="Calibri"/>
        <family val="2"/>
        <charset val="1"/>
      </rPr>
      <t xml:space="preserve">2</t>
    </r>
  </si>
  <si>
    <t xml:space="preserve">Amount of energy received from the Sun for a given area. Taken as the Solar Constant (1 AU from the sun) </t>
  </si>
  <si>
    <t xml:space="preserve">an introduction to solar radiation</t>
  </si>
  <si>
    <t xml:space="preserve">Total battery energy</t>
  </si>
  <si>
    <t xml:space="preserve">Wh</t>
  </si>
  <si>
    <t xml:space="preserve">Calculations: the configuration of the batteries is as follows: 2x2 (2 cells in series and 2 blocks in parallel). The batteries used are Samsung INR21700-53G1
- Individual capacity: 5.3 Ah
- Nominal voltage: 3.6 V
- Capacity per cell: 5.3 Ah * 3.6 V = 19.08 Wh
With a 2x2 configuration (2 cells in series to achieve 7.2 V, and 2 blocks in parallel to double the capacity), the total pack capacity would be:
- Total voltage: 7.2 V
- Total capacity: 5.3 Ah * 2 = 10.6 Ah
- Total energy: 7.2 V * 10.6 Ah = 76.32 Wh</t>
  </si>
  <si>
    <t xml:space="preserve">Min battery energy (for charging)</t>
  </si>
  <si>
    <t xml:space="preserve">20% of total battery energy</t>
  </si>
  <si>
    <t xml:space="preserve">Classical values for Lithium-Ion batteries</t>
  </si>
  <si>
    <t xml:space="preserve">Max battery energy (for charging)</t>
  </si>
  <si>
    <t xml:space="preserve">80% of total battery energy</t>
  </si>
  <si>
    <t xml:space="preserve">Measurement threshold</t>
  </si>
  <si>
    <r>
      <rPr>
        <sz val="11"/>
        <color theme="1"/>
        <rFont val="Calibri"/>
        <family val="2"/>
        <charset val="1"/>
      </rPr>
      <t xml:space="preserve">Minimum battery energy to start a measurement session 
Calculated as: (mean_measurement_consumption - mean_solar_input) * max_duration + min battery = (</t>
    </r>
    <r>
      <rPr>
        <sz val="12"/>
        <color theme="1"/>
        <rFont val="Aptos Narrow"/>
        <family val="2"/>
      </rPr>
      <t xml:space="preserve">7.3666</t>
    </r>
    <r>
      <rPr>
        <sz val="11"/>
        <color theme="1"/>
        <rFont val="Calibri"/>
        <family val="2"/>
        <charset val="1"/>
      </rPr>
      <t xml:space="preserve"> - 3.615) * 10560/3600 + 15.264) Wh
(this simplification assumes that there is not data stored when the measurement window starts:  later, will be dynamically updated by checking data storage =&gt; might lower the measure threshold)</t>
    </r>
  </si>
  <si>
    <t xml:space="preserve">Mean consumption extracted from the "mean consumption" sheet 
For max duration, see the "data" sheet</t>
  </si>
  <si>
    <t xml:space="preserve">Communication threshold</t>
  </si>
  <si>
    <t xml:space="preserve">Minimum battery energy to start a uhf communication session
Calculated as: (mean_uhf_consumption - mean_solar_input) * max_duration + min battery = (6.25 - 3.615) * 500/3600 + 15.264 = 15.63 Wh</t>
  </si>
  <si>
    <t xml:space="preserve">X-band threshold</t>
  </si>
  <si>
    <t xml:space="preserve">Minimum battery energy to start an x-band communication session
Calculated as: (mean_xband_consumption - mean_solar_input) * max_duration + min battery = (23.89 - 3.615) * 500/3600 + 15.264 = 18.08 Wh</t>
  </si>
  <si>
    <t xml:space="preserve">Mean solar input</t>
  </si>
  <si>
    <t xml:space="preserve">W</t>
  </si>
  <si>
    <t xml:space="preserve">Used to calculate the thresholds above with a margin of 0.5 =&gt; 3.615</t>
  </si>
  <si>
    <t xml:space="preserve">Simulation of 15 days with the current framework: got an average</t>
  </si>
  <si>
    <t xml:space="preserve">Number of solar panel cells</t>
  </si>
  <si>
    <t xml:space="preserve">Sola Panel Cell surface</t>
  </si>
  <si>
    <t xml:space="preserve">semester_project</t>
  </si>
  <si>
    <t xml:space="preserve">Solar panel efficiency</t>
  </si>
  <si>
    <t xml:space="preserve">Standard value, also used by Beyond Gravity for their digital twin </t>
  </si>
  <si>
    <t xml:space="preserve">Total battery energy Alternative</t>
  </si>
  <si>
    <t xml:space="preserve">Calculations: assume 2P-2S: 6 - 8.4 V &amp; 6.0 Ah configuration and assume 7.2V for consisency with previous battery, this results in an energy of 7.2V * 6.0 Ah = 43.2 Wh</t>
  </si>
  <si>
    <t xml:space="preserve">https://gomspace.com/shop/subsystems/power/nanopower-bp4.aspx</t>
  </si>
  <si>
    <t xml:space="preserve">Min battery energy (for charging) Alternative</t>
  </si>
  <si>
    <t xml:space="preserve">Max battery energy (for charging) Alternative</t>
  </si>
  <si>
    <t xml:space="preserve">Mean Consumption [W]</t>
  </si>
  <si>
    <t xml:space="preserve">Values from</t>
  </si>
  <si>
    <t xml:space="preserve">Power Budget</t>
  </si>
  <si>
    <t xml:space="preserve">Margins from</t>
  </si>
  <si>
    <t xml:space="preserve">SE_DSD</t>
  </si>
  <si>
    <t xml:space="preserve">Subsystem</t>
  </si>
  <si>
    <t xml:space="preserve">Margins</t>
  </si>
  <si>
    <t xml:space="preserve">Operating Mode Nominal [Watt]</t>
  </si>
  <si>
    <t xml:space="preserve">Operating Mode with margins [watt]</t>
  </si>
  <si>
    <t xml:space="preserve">IDLE/CHARGING</t>
  </si>
  <si>
    <t xml:space="preserve">MEASUREMENT</t>
  </si>
  <si>
    <t xml:space="preserve">SAFE</t>
  </si>
  <si>
    <t xml:space="preserve">UHF-COM</t>
  </si>
  <si>
    <t xml:space="preserve">XBAND-COM</t>
  </si>
  <si>
    <t xml:space="preserve">adcs</t>
  </si>
  <si>
    <t xml:space="preserve">novoviz camera</t>
  </si>
  <si>
    <t xml:space="preserve">eps</t>
  </si>
  <si>
    <t xml:space="preserve">gnss</t>
  </si>
  <si>
    <t xml:space="preserve">obc</t>
  </si>
  <si>
    <t xml:space="preserve">uhf</t>
  </si>
  <si>
    <t xml:space="preserve">x band</t>
  </si>
  <si>
    <t xml:space="preserve">ALL</t>
  </si>
  <si>
    <t xml:space="preserve">Note: ADCS safe mode: Detumbling mode not considered since it is only during deployment</t>
  </si>
  <si>
    <t xml:space="preserve">Data</t>
  </si>
  <si>
    <t xml:space="preserve">TOF data rate (generation)</t>
  </si>
  <si>
    <t xml:space="preserve">Mbps</t>
  </si>
  <si>
    <t xml:space="preserve">Data generated during measurement mode only. A measurement window lasts 176 min (10560 s) but data is measured during 120 min only
Calculations: 120 min of measurement generates 100MB = 800 Mb
=&gt; the TOF measure rate should be 800/(120*60) = 0.111 Mbps</t>
  </si>
  <si>
    <t xml:space="preserve">GNSS data rate (generation)</t>
  </si>
  <si>
    <t xml:space="preserve">Data generated all the time except in Safe mode. Based on the SE_DSD, 29.25MB = 234Mb is generated in 10 hours. So the GNSS rate should be 234/(10*60*60) = 0.0065 Mbps</t>
  </si>
  <si>
    <t xml:space="preserve">Housekeeping data rate (generation)</t>
  </si>
  <si>
    <t xml:space="preserve">Data generated all the time: 2.5 KB = 20 Kb = 0.02 Mb / 5 min (not continuous)
If implemented as “continuous”: 6.67e-5 Mbps</t>
  </si>
  <si>
    <t xml:space="preserve">Max data storage</t>
  </si>
  <si>
    <t xml:space="preserve">Mb</t>
  </si>
  <si>
    <t xml:space="preserve">256 GB = 2048 Gb = 2 097 152 Mb</t>
  </si>
  <si>
    <t xml:space="preserve">MOP</t>
  </si>
  <si>
    <t xml:space="preserve">UHF data rate (communication)</t>
  </si>
  <si>
    <t xml:space="preserve">19.2 kbps = 0.0192 Mbps</t>
  </si>
  <si>
    <t xml:space="preserve">X-BAND data rate (communication)</t>
  </si>
  <si>
    <t xml:space="preserve">UHF communication max duration</t>
  </si>
  <si>
    <t xml:space="preserve">s</t>
  </si>
  <si>
    <t xml:space="preserve">Acts like a threshold. Usually the visibility from ground station is shorter so the communication will stop before reaching 500 s</t>
  </si>
  <si>
    <t xml:space="preserve">Measurement session duration (full)</t>
  </si>
  <si>
    <t xml:space="preserve">176 min = 10560 s</t>
  </si>
  <si>
    <t xml:space="preserve">Measurment pre-conditioning duration</t>
  </si>
  <si>
    <t xml:space="preserve">25 min = 1500 s</t>
  </si>
  <si>
    <t xml:space="preserve">Measurment post-conditioning duration</t>
  </si>
  <si>
    <t xml:space="preserve">31 min = 1860 s</t>
  </si>
  <si>
    <t xml:space="preserve">Measurement session duration (data generation)</t>
  </si>
  <si>
    <t xml:space="preserve">120 min = 7200 s</t>
  </si>
  <si>
    <t xml:space="preserve">Lausanne Ground Station Minimum Elevation Angle</t>
  </si>
  <si>
    <t xml:space="preserve">Angle between the horizontal plane at the ground station's location and the line of sight to a satellite</t>
  </si>
  <si>
    <t xml:space="preserve">Typical value</t>
  </si>
  <si>
    <t xml:space="preserve">Max Time Without Communication</t>
  </si>
  <si>
    <t xml:space="preserve">day</t>
  </si>
  <si>
    <t xml:space="preserve">This value is the upper bound for the time without communication and will raise a safe flag (which means going to safe mode) if reached</t>
  </si>
  <si>
    <t xml:space="preserve">Random, not provided by the team yet</t>
  </si>
  <si>
    <t xml:space="preserve">Camera data rate (generation)</t>
  </si>
  <si>
    <t xml:space="preserve">A measurment window lasts 10 min and 200kb of data is generated</t>
  </si>
  <si>
    <t xml:space="preserve">https://drive.google.com/drive/u/0/folders/1a7HG0mNNeUeSKjlQsb9jdn3B8IrzmBn_</t>
  </si>
  <si>
    <t xml:space="preserve">Attitude</t>
  </si>
  <si>
    <t xml:space="preserve">Operating Mode</t>
  </si>
  <si>
    <t xml:space="preserve">Source:</t>
  </si>
  <si>
    <t xml:space="preserve">Y/Z Thomson spin</t>
  </si>
  <si>
    <t xml:space="preserve">Satellite rotates along inertia axes. Enable to passively stabilize the satellite without consuming too much energy. Commonly used during eclipses.</t>
  </si>
  <si>
    <t xml:space="preserve">Sun spin</t>
  </si>
  <si>
    <t xml:space="preserve">Z+ towards sun + can rotate along Z axis *</t>
  </si>
  <si>
    <t xml:space="preserve">CHARGING</t>
  </si>
  <si>
    <t xml:space="preserve">Nadir spin</t>
  </si>
  <si>
    <t xml:space="preserve">Z- towards nadir (Earth's surface) + can rotate along Z axis *</t>
  </si>
  <si>
    <t xml:space="preserve">Ground tracking</t>
  </si>
  <si>
    <t xml:space="preserve">Z- towards GS</t>
  </si>
  <si>
    <t xml:space="preserve">MEASUREMEMNT</t>
  </si>
  <si>
    <t xml:space="preserve">Nadir pointing</t>
  </si>
  <si>
    <t xml:space="preserve">Z- towards nadir (Earth's surface)</t>
  </si>
  <si>
    <t xml:space="preserve">* : the spin is so that ADCS's reaction wheels don't need to be used (they consumne a lot of energy)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</si>
</sst>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1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36"/>
      <color rgb="FF833C0B"/>
      <name val="Calibri"/>
      <family val="2"/>
      <charset val="1"/>
    </font>
    <font>
      <b val="true"/>
      <sz val="16"/>
      <color rgb="FF833C0B"/>
      <name val="Calibri"/>
      <family val="2"/>
      <charset val="1"/>
    </font>
    <font>
      <sz val="16"/>
      <color rgb="FFC55A11"/>
      <name val="Calibri"/>
      <family val="2"/>
      <charset val="1"/>
    </font>
    <font>
      <sz val="12"/>
      <color rgb="FF833C0B"/>
      <name val="Calibri"/>
      <family val="2"/>
      <charset val="1"/>
    </font>
    <font>
      <b val="true"/>
      <sz val="22"/>
      <color rgb="FF833C0B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2"/>
      <color theme="10"/>
      <name val="Aptos Narrow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</font>
    <font>
      <b val="true"/>
      <sz val="22"/>
      <color theme="5" tint="-0.5"/>
      <name val="Calibri"/>
      <family val="2"/>
      <charset val="1"/>
    </font>
    <font>
      <sz val="11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6C6AD"/>
      </patternFill>
    </fill>
    <fill>
      <patternFill patternType="solid">
        <fgColor rgb="FFA8D08D"/>
        <bgColor rgb="FF99CCFF"/>
      </patternFill>
    </fill>
    <fill>
      <patternFill patternType="solid">
        <fgColor rgb="FFE2EFDA"/>
        <bgColor rgb="FFFFFFCC"/>
      </patternFill>
    </fill>
    <fill>
      <patternFill patternType="solid">
        <fgColor theme="5" tint="0.5999"/>
        <bgColor rgb="FFF7CAA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/>
      <bottom style="thin">
        <color theme="1"/>
      </bottom>
      <diagonal/>
    </border>
    <border diagonalUp="false" diagonalDown="false">
      <left style="thin">
        <color theme="6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 style="thin">
        <color theme="6"/>
      </left>
      <right/>
      <top/>
      <bottom style="thin">
        <color theme="6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/>
      <right/>
      <top/>
      <bottom style="thin">
        <color theme="6"/>
      </bottom>
      <diagonal/>
    </border>
    <border diagonalUp="false" diagonalDown="false">
      <left style="thin">
        <color theme="6"/>
      </left>
      <right/>
      <top style="thin">
        <color theme="6"/>
      </top>
      <bottom/>
      <diagonal/>
    </border>
    <border diagonalUp="false" diagonalDown="false">
      <left/>
      <right/>
      <top style="thin">
        <color theme="6"/>
      </top>
      <bottom style="thin">
        <color theme="1"/>
      </bottom>
      <diagonal/>
    </border>
    <border diagonalUp="false" diagonalDown="false">
      <left style="thin">
        <color theme="6"/>
      </left>
      <right/>
      <top style="thin">
        <color theme="1"/>
      </top>
      <bottom style="thin"/>
      <diagonal/>
    </border>
    <border diagonalUp="false" diagonalDown="false">
      <left style="thin">
        <color theme="6"/>
      </left>
      <right/>
      <top/>
      <bottom/>
      <diagonal/>
    </border>
    <border diagonalUp="false" diagonalDown="false">
      <left/>
      <right style="thin">
        <color theme="6"/>
      </right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 diagonalUp="false" diagonalDown="false">
      <left/>
      <right style="thin">
        <color theme="6"/>
      </right>
      <top/>
      <bottom style="thin">
        <color theme="6"/>
      </bottom>
      <diagonal/>
    </border>
    <border diagonalUp="false" diagonalDown="false">
      <left style="thin">
        <color theme="6"/>
      </left>
      <right/>
      <top style="thin">
        <color theme="6"/>
      </top>
      <bottom style="thin">
        <color theme="6"/>
      </bottom>
      <diagonal/>
    </border>
    <border diagonalUp="false" diagonalDown="false">
      <left/>
      <right/>
      <top style="thin">
        <color theme="6"/>
      </top>
      <bottom style="thin">
        <color theme="6"/>
      </bottom>
      <diagonal/>
    </border>
    <border diagonalUp="false" diagonalDown="false">
      <left/>
      <right style="thin">
        <color theme="6"/>
      </right>
      <top style="thin">
        <color theme="6"/>
      </top>
      <bottom style="thin">
        <color theme="6"/>
      </bottom>
      <diagonal/>
    </border>
    <border diagonalUp="false" diagonalDown="false">
      <left style="thin"/>
      <right/>
      <top style="thin">
        <color theme="6"/>
      </top>
      <bottom style="thin"/>
      <diagonal/>
    </border>
    <border diagonalUp="false" diagonalDown="false">
      <left/>
      <right style="thin"/>
      <top style="thin">
        <color theme="6"/>
      </top>
      <bottom style="thin"/>
      <diagonal/>
    </border>
    <border diagonalUp="false" diagonalDown="false">
      <left/>
      <right/>
      <top/>
      <bottom style="thin">
        <color rgb="FFA8D08D"/>
      </bottom>
      <diagonal/>
    </border>
    <border diagonalUp="false" diagonalDown="false">
      <left/>
      <right/>
      <top style="thin">
        <color rgb="FFA8D08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4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1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4" borderId="7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1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1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2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2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4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4" borderId="1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2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A8D08D"/>
      <rgbColor rgb="FF808080"/>
      <rgbColor rgb="FF9999FF"/>
      <rgbColor rgb="FF80350E"/>
      <rgbColor rgb="FFFFFFCC"/>
      <rgbColor rgb="FFCCFFFF"/>
      <rgbColor rgb="FF660066"/>
      <rgbColor rgb="FFFF8080"/>
      <rgbColor rgb="FF0066CC"/>
      <rgbColor rgb="FFF6C6A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C55A11"/>
      <rgbColor rgb="FF467886"/>
      <rgbColor rgb="FF969696"/>
      <rgbColor rgb="FF003366"/>
      <rgbColor rgb="FF339966"/>
      <rgbColor rgb="FF003300"/>
      <rgbColor rgb="FF333300"/>
      <rgbColor rgb="FF83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lKm0Ug_VdFA4UQtDgeosw6qwuatYz_OgUOp3D8Ya0C4/edit?gid=0" TargetMode="External"/><Relationship Id="rId2" Type="http://schemas.openxmlformats.org/officeDocument/2006/relationships/hyperlink" Target="https://www.overleaf.com/project/65632b61f67b4129e600cd4b" TargetMode="External"/><Relationship Id="rId3" Type="http://schemas.openxmlformats.org/officeDocument/2006/relationships/hyperlink" Target="https://www.overleaf.com/project/65632b61f67b4129e600cd4b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books.google.fr/books?hl=fr&amp;lr=&amp;id=3_qWce_mbPsC&amp;oi=fnd&amp;pg=PP1&amp;dq=sollar+irradiance+constant+variation&amp;ots=h7qYWqN7Rs&amp;sig=3j1h_syTiAoIJdx3dhSbethlrlI" TargetMode="External"/><Relationship Id="rId2" Type="http://schemas.openxmlformats.org/officeDocument/2006/relationships/hyperlink" Target="https://drive.google.com/file/d/1iJrriVvhUb14Ga3fDKDEhM5pJmWMGYR9/view?usp=drive_lin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WonvqPILB6xdda7eskU1KEcFRKqyLrVcPEangYOLAE8/edit?gid=640536346" TargetMode="External"/><Relationship Id="rId2" Type="http://schemas.openxmlformats.org/officeDocument/2006/relationships/hyperlink" Target="https://www.overleaf.com/project/6550cd11776f12b90dd501e2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6kdxsIwadRRjkxyZc1pcMKEtGiFLSJ3wsrAjWeHVJhk/edit?usp=sharing" TargetMode="External"/><Relationship Id="rId2" Type="http://schemas.openxmlformats.org/officeDocument/2006/relationships/hyperlink" Target="https://drive.google.com/file/d/1XFguQwUj3-r5_hRQW0--2vLyVbI9EcCz/view?usp=drive_link" TargetMode="External"/><Relationship Id="rId3" Type="http://schemas.openxmlformats.org/officeDocument/2006/relationships/hyperlink" Target="https://drive.google.com/file/d/1XFguQwUj3-r5_hRQW0--2vLyVbI9EcCz/view?usp=drive_link" TargetMode="External"/><Relationship Id="rId4" Type="http://schemas.openxmlformats.org/officeDocument/2006/relationships/hyperlink" Target="https://drive.google.com/file/d/1XFguQwUj3-r5_hRQW0--2vLyVbI9EcCz/view?usp=drive_link" TargetMode="External"/><Relationship Id="rId5" Type="http://schemas.openxmlformats.org/officeDocument/2006/relationships/hyperlink" Target="https://fr.overleaf.com/4454816638pfgxtwnnjfpg" TargetMode="External"/><Relationship Id="rId6" Type="http://schemas.openxmlformats.org/officeDocument/2006/relationships/hyperlink" Target="https://fr.overleaf.com/4454816638pfgxtwnnjfpg" TargetMode="External"/><Relationship Id="rId7" Type="http://schemas.openxmlformats.org/officeDocument/2006/relationships/hyperlink" Target="https://fr.overleaf.com/4454816638pfgxtwnnjfpg" TargetMode="External"/><Relationship Id="rId8" Type="http://schemas.openxmlformats.org/officeDocument/2006/relationships/hyperlink" Target="https://docs.google.com/spreadsheets/d/16kdxsIwadRRjkxyZc1pcMKEtGiFLSJ3wsrAjWeHVJhk/edit?usp=sharing" TargetMode="External"/><Relationship Id="rId9" Type="http://schemas.openxmlformats.org/officeDocument/2006/relationships/hyperlink" Target="https://docs.google.com/spreadsheets/d/16kdxsIwadRRjkxyZc1pcMKEtGiFLSJ3wsrAjWeHVJhk/edit?usp=sharing" TargetMode="External"/><Relationship Id="rId10" Type="http://schemas.openxmlformats.org/officeDocument/2006/relationships/hyperlink" Target="https://docs.google.com/spreadsheets/d/16kdxsIwadRRjkxyZc1pcMKEtGiFLSJ3wsrAjWeHVJhk/edit?usp=sharing" TargetMode="External"/><Relationship Id="rId11" Type="http://schemas.openxmlformats.org/officeDocument/2006/relationships/hyperlink" Target="https://docs.google.com/spreadsheets/d/16kdxsIwadRRjkxyZc1pcMKEtGiFLSJ3wsrAjWeHVJhk/edit?usp=sharing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fr.overleaf.com/project/66253cb9a6211c022e164aa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0.5"/>
    <col collapsed="false" customWidth="true" hidden="false" outlineLevel="0" max="3" min="3" style="1" width="47.16"/>
  </cols>
  <sheetData>
    <row r="1" customFormat="false" ht="15.75" hidden="false" customHeight="false" outlineLevel="0" collapsed="false">
      <c r="A1" s="2"/>
      <c r="B1" s="2"/>
      <c r="C1" s="2"/>
    </row>
    <row r="2" customFormat="false" ht="43.3" hidden="false" customHeight="false" outlineLevel="0" collapsed="false">
      <c r="A2" s="3" t="s">
        <v>0</v>
      </c>
      <c r="B2" s="3"/>
      <c r="C2" s="3"/>
    </row>
    <row r="3" customFormat="false" ht="15.75" hidden="false" customHeight="false" outlineLevel="0" collapsed="false">
      <c r="A3" s="2"/>
      <c r="B3" s="2"/>
      <c r="C3" s="2"/>
    </row>
    <row r="4" customFormat="false" ht="19.7" hidden="false" customHeight="false" outlineLevel="0" collapsed="false">
      <c r="A4" s="4" t="s">
        <v>1</v>
      </c>
      <c r="B4" s="4"/>
      <c r="C4" s="4"/>
    </row>
    <row r="5" customFormat="false" ht="19.7" hidden="false" customHeight="false" outlineLevel="0" collapsed="false">
      <c r="A5" s="5" t="s">
        <v>2</v>
      </c>
      <c r="B5" s="5"/>
      <c r="C5" s="5"/>
    </row>
    <row r="6" customFormat="false" ht="15.75" hidden="false" customHeight="false" outlineLevel="0" collapsed="false">
      <c r="A6" s="2"/>
      <c r="B6" s="2"/>
      <c r="C6" s="2"/>
    </row>
    <row r="7" customFormat="false" ht="19.7" hidden="false" customHeight="false" outlineLevel="0" collapsed="false">
      <c r="A7" s="4" t="s">
        <v>3</v>
      </c>
      <c r="B7" s="4"/>
      <c r="C7" s="4"/>
    </row>
    <row r="8" customFormat="false" ht="19.7" hidden="false" customHeight="false" outlineLevel="0" collapsed="false">
      <c r="A8" s="5" t="s">
        <v>4</v>
      </c>
      <c r="B8" s="5"/>
      <c r="C8" s="5"/>
    </row>
    <row r="9" customFormat="false" ht="15.75" hidden="false" customHeight="false" outlineLevel="0" collapsed="false">
      <c r="A9" s="2"/>
      <c r="B9" s="2"/>
      <c r="C9" s="2"/>
    </row>
    <row r="10" customFormat="false" ht="19.7" hidden="false" customHeight="false" outlineLevel="0" collapsed="false">
      <c r="A10" s="4" t="s">
        <v>5</v>
      </c>
      <c r="B10" s="4"/>
      <c r="C10" s="4"/>
    </row>
    <row r="11" customFormat="false" ht="15.75" hidden="false" customHeight="false" outlineLevel="0" collapsed="false">
      <c r="A11" s="6" t="s">
        <v>6</v>
      </c>
      <c r="B11" s="6"/>
      <c r="C11" s="6"/>
    </row>
    <row r="12" customFormat="false" ht="15.75" hidden="false" customHeight="false" outlineLevel="0" collapsed="false">
      <c r="A12" s="6" t="s">
        <v>7</v>
      </c>
      <c r="B12" s="6"/>
      <c r="C12" s="6"/>
    </row>
    <row r="13" customFormat="false" ht="19.7" hidden="false" customHeight="false" outlineLevel="0" collapsed="false">
      <c r="A13" s="4" t="s">
        <v>8</v>
      </c>
      <c r="B13" s="4"/>
      <c r="C13" s="4"/>
    </row>
    <row r="14" customFormat="false" ht="19.7" hidden="false" customHeight="false" outlineLevel="0" collapsed="false">
      <c r="A14" s="7" t="n">
        <v>45611</v>
      </c>
      <c r="B14" s="7"/>
      <c r="C14" s="7"/>
    </row>
    <row r="15" customFormat="false" ht="15.75" hidden="false" customHeight="false" outlineLevel="0" collapsed="false">
      <c r="A15" s="2"/>
      <c r="B15" s="2"/>
      <c r="C15" s="2"/>
    </row>
    <row r="16" customFormat="false" ht="15.75" hidden="false" customHeight="false" outlineLevel="0" collapsed="false">
      <c r="A16" s="8"/>
      <c r="B16" s="8"/>
      <c r="C16" s="8"/>
    </row>
    <row r="17" customFormat="false" ht="15.75" hidden="false" customHeight="false" outlineLevel="0" collapsed="false">
      <c r="A17" s="8"/>
      <c r="B17" s="8"/>
      <c r="C17" s="8"/>
    </row>
    <row r="18" customFormat="false" ht="15.75" hidden="false" customHeight="false" outlineLevel="0" collapsed="false">
      <c r="A18" s="8"/>
      <c r="B18" s="8"/>
      <c r="C18" s="8"/>
    </row>
    <row r="19" customFormat="false" ht="15.75" hidden="false" customHeight="false" outlineLevel="0" collapsed="false">
      <c r="A19" s="8"/>
      <c r="B19" s="8"/>
      <c r="C19" s="8"/>
    </row>
    <row r="20" customFormat="false" ht="15.75" hidden="false" customHeight="false" outlineLevel="0" collapsed="false">
      <c r="A20" s="8"/>
      <c r="B20" s="8"/>
      <c r="C20" s="8"/>
    </row>
    <row r="21" customFormat="false" ht="15.75" hidden="false" customHeight="false" outlineLevel="0" collapsed="false">
      <c r="A21" s="8"/>
      <c r="B21" s="8"/>
      <c r="C21" s="8"/>
    </row>
    <row r="22" customFormat="false" ht="15.75" hidden="false" customHeight="false" outlineLevel="0" collapsed="false">
      <c r="A22" s="8"/>
      <c r="B22" s="8"/>
      <c r="C22" s="8"/>
    </row>
    <row r="23" customFormat="false" ht="15.75" hidden="false" customHeight="false" outlineLevel="0" collapsed="false">
      <c r="A23" s="8"/>
      <c r="B23" s="8"/>
      <c r="C23" s="8"/>
    </row>
    <row r="24" customFormat="false" ht="15.75" hidden="false" customHeight="false" outlineLevel="0" collapsed="false">
      <c r="A24" s="8"/>
      <c r="B24" s="8"/>
      <c r="C24" s="8"/>
    </row>
  </sheetData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3" colorId="64" zoomScale="125" zoomScaleNormal="125" zoomScalePageLayoutView="100" workbookViewId="0">
      <selection pane="topLeft" activeCell="A7" activeCellId="0" sqref="A7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9" width="32.66"/>
    <col collapsed="false" customWidth="true" hidden="false" outlineLevel="0" max="2" min="2" style="9" width="11.33"/>
    <col collapsed="false" customWidth="true" hidden="false" outlineLevel="0" max="3" min="3" style="9" width="7.83"/>
    <col collapsed="false" customWidth="true" hidden="false" outlineLevel="0" max="4" min="4" style="9" width="71"/>
    <col collapsed="false" customWidth="true" hidden="false" outlineLevel="0" max="5" min="5" style="9" width="25"/>
  </cols>
  <sheetData>
    <row r="1" customFormat="false" ht="15.75" hidden="false" customHeight="true" outlineLevel="0" collapsed="false">
      <c r="A1" s="10" t="s">
        <v>9</v>
      </c>
      <c r="B1" s="10"/>
      <c r="C1" s="10"/>
      <c r="D1" s="10"/>
      <c r="E1" s="10"/>
    </row>
    <row r="2" customFormat="false" ht="15.75" hidden="false" customHeight="false" outlineLevel="0" collapsed="false">
      <c r="A2" s="10"/>
      <c r="B2" s="10"/>
      <c r="C2" s="10"/>
      <c r="D2" s="10"/>
      <c r="E2" s="10"/>
    </row>
    <row r="3" customFormat="false" ht="15.75" hidden="false" customHeight="false" outlineLevel="0" collapsed="false">
      <c r="A3" s="11" t="s">
        <v>10</v>
      </c>
      <c r="B3" s="12" t="s">
        <v>11</v>
      </c>
      <c r="C3" s="13" t="s">
        <v>12</v>
      </c>
      <c r="D3" s="13" t="s">
        <v>13</v>
      </c>
      <c r="E3" s="13" t="s">
        <v>14</v>
      </c>
      <c r="F3" s="14"/>
    </row>
    <row r="4" customFormat="false" ht="15.75" hidden="false" customHeight="false" outlineLevel="0" collapsed="false">
      <c r="A4" s="15" t="s">
        <v>15</v>
      </c>
      <c r="B4" s="16" t="n">
        <v>2.2</v>
      </c>
      <c r="C4" s="17"/>
      <c r="D4" s="17" t="s">
        <v>16</v>
      </c>
      <c r="E4" s="18" t="s">
        <v>17</v>
      </c>
      <c r="F4" s="14"/>
    </row>
    <row r="5" customFormat="false" ht="15.75" hidden="false" customHeight="false" outlineLevel="0" collapsed="false">
      <c r="A5" s="19" t="s">
        <v>18</v>
      </c>
      <c r="B5" s="20" t="n">
        <v>5.3</v>
      </c>
      <c r="C5" s="21" t="s">
        <v>19</v>
      </c>
      <c r="D5" s="21"/>
      <c r="E5" s="22" t="s">
        <v>20</v>
      </c>
      <c r="F5" s="14"/>
    </row>
    <row r="6" customFormat="false" ht="15.75" hidden="false" customHeight="false" outlineLevel="0" collapsed="false">
      <c r="A6" s="23" t="s">
        <v>21</v>
      </c>
      <c r="B6" s="24" t="s">
        <v>22</v>
      </c>
      <c r="C6" s="21"/>
      <c r="D6" s="20" t="s">
        <v>23</v>
      </c>
      <c r="E6" s="25"/>
      <c r="F6" s="14"/>
    </row>
    <row r="7" customFormat="false" ht="195.5" hidden="false" customHeight="false" outlineLevel="0" collapsed="false">
      <c r="A7" s="26" t="s">
        <v>24</v>
      </c>
      <c r="B7" s="27" t="n">
        <v>0.084</v>
      </c>
      <c r="C7" s="27" t="s">
        <v>25</v>
      </c>
      <c r="D7" s="21" t="s">
        <v>26</v>
      </c>
      <c r="E7" s="28" t="s">
        <v>27</v>
      </c>
    </row>
    <row r="8" customFormat="false" ht="15.75" hidden="false" customHeight="true" outlineLevel="0" collapsed="false">
      <c r="A8" s="29" t="s">
        <v>28</v>
      </c>
      <c r="B8" s="30" t="n">
        <v>6878</v>
      </c>
      <c r="C8" s="30" t="s">
        <v>29</v>
      </c>
      <c r="D8" s="31" t="s">
        <v>30</v>
      </c>
      <c r="E8" s="32" t="s">
        <v>31</v>
      </c>
    </row>
    <row r="9" customFormat="false" ht="15.75" hidden="false" customHeight="false" outlineLevel="0" collapsed="false">
      <c r="A9" s="33" t="s">
        <v>32</v>
      </c>
      <c r="B9" s="34" t="n">
        <v>0</v>
      </c>
      <c r="C9" s="34"/>
      <c r="D9" s="31" t="s">
        <v>33</v>
      </c>
      <c r="E9" s="32"/>
    </row>
    <row r="10" customFormat="false" ht="31.3" hidden="false" customHeight="false" outlineLevel="0" collapsed="false">
      <c r="A10" s="33" t="s">
        <v>34</v>
      </c>
      <c r="B10" s="34" t="n">
        <v>97.4065</v>
      </c>
      <c r="C10" s="34" t="s">
        <v>35</v>
      </c>
      <c r="D10" s="31" t="s">
        <v>36</v>
      </c>
      <c r="E10" s="32"/>
    </row>
    <row r="11" customFormat="false" ht="15.75" hidden="false" customHeight="false" outlineLevel="0" collapsed="false">
      <c r="A11" s="33" t="s">
        <v>37</v>
      </c>
      <c r="B11" s="34" t="n">
        <v>0</v>
      </c>
      <c r="C11" s="34" t="s">
        <v>35</v>
      </c>
      <c r="D11" s="34" t="s">
        <v>38</v>
      </c>
      <c r="E11" s="32"/>
    </row>
    <row r="12" customFormat="false" ht="15.75" hidden="false" customHeight="false" outlineLevel="0" collapsed="false">
      <c r="A12" s="33" t="s">
        <v>39</v>
      </c>
      <c r="B12" s="34" t="n">
        <v>110</v>
      </c>
      <c r="C12" s="34" t="s">
        <v>35</v>
      </c>
      <c r="D12" s="34" t="s">
        <v>38</v>
      </c>
      <c r="E12" s="32"/>
      <c r="G12" s="35"/>
    </row>
    <row r="13" customFormat="false" ht="15.75" hidden="false" customHeight="false" outlineLevel="0" collapsed="false">
      <c r="A13" s="36" t="s">
        <v>40</v>
      </c>
      <c r="B13" s="37" t="n">
        <v>0</v>
      </c>
      <c r="C13" s="37" t="s">
        <v>35</v>
      </c>
      <c r="D13" s="37" t="s">
        <v>38</v>
      </c>
      <c r="E13" s="32"/>
    </row>
    <row r="14" customFormat="false" ht="15.75" hidden="false" customHeight="true" outlineLevel="0" collapsed="false">
      <c r="A14" s="29" t="s">
        <v>41</v>
      </c>
      <c r="B14" s="30" t="n">
        <v>47.52</v>
      </c>
      <c r="C14" s="30" t="s">
        <v>35</v>
      </c>
      <c r="D14" s="30"/>
      <c r="E14" s="38" t="s">
        <v>31</v>
      </c>
    </row>
    <row r="15" customFormat="false" ht="15.75" hidden="false" customHeight="false" outlineLevel="0" collapsed="false">
      <c r="A15" s="33" t="s">
        <v>42</v>
      </c>
      <c r="B15" s="34" t="n">
        <v>6.565</v>
      </c>
      <c r="C15" s="34" t="s">
        <v>35</v>
      </c>
      <c r="D15" s="34"/>
      <c r="E15" s="38"/>
    </row>
    <row r="16" customFormat="false" ht="15.75" hidden="false" customHeight="false" outlineLevel="0" collapsed="false">
      <c r="A16" s="36" t="s">
        <v>43</v>
      </c>
      <c r="B16" s="37" t="n">
        <v>10</v>
      </c>
      <c r="C16" s="37" t="s">
        <v>35</v>
      </c>
      <c r="D16" s="37"/>
      <c r="E16" s="38"/>
    </row>
    <row r="17" customFormat="false" ht="15.75" hidden="false" customHeight="false" outlineLevel="0" collapsed="false">
      <c r="A17" s="39"/>
      <c r="B17" s="39"/>
      <c r="C17" s="39"/>
      <c r="D17" s="39"/>
      <c r="E17" s="39"/>
    </row>
    <row r="18" customFormat="false" ht="15.75" hidden="false" customHeight="false" outlineLevel="0" collapsed="false">
      <c r="A18" s="39"/>
      <c r="B18" s="39"/>
      <c r="C18" s="39"/>
      <c r="D18" s="39"/>
      <c r="E18" s="39"/>
    </row>
    <row r="19" customFormat="false" ht="15.75" hidden="false" customHeight="false" outlineLevel="0" collapsed="false">
      <c r="A19" s="39"/>
      <c r="B19" s="39"/>
      <c r="C19" s="39"/>
      <c r="D19" s="39"/>
      <c r="E19" s="39"/>
    </row>
    <row r="20" customFormat="false" ht="15.75" hidden="false" customHeight="false" outlineLevel="0" collapsed="false">
      <c r="A20" s="39"/>
      <c r="B20" s="39"/>
      <c r="C20" s="39"/>
      <c r="D20" s="39"/>
      <c r="E20" s="39"/>
    </row>
    <row r="21" customFormat="false" ht="15.75" hidden="false" customHeight="false" outlineLevel="0" collapsed="false">
      <c r="A21" s="39"/>
      <c r="B21" s="39"/>
      <c r="C21" s="39"/>
      <c r="D21" s="39"/>
      <c r="E21" s="39"/>
    </row>
    <row r="22" customFormat="false" ht="15.75" hidden="false" customHeight="false" outlineLevel="0" collapsed="false">
      <c r="A22" s="39"/>
      <c r="B22" s="39"/>
      <c r="C22" s="39"/>
      <c r="D22" s="39"/>
      <c r="E22" s="39"/>
    </row>
    <row r="23" customFormat="false" ht="15.75" hidden="false" customHeight="false" outlineLevel="0" collapsed="false">
      <c r="A23" s="39"/>
      <c r="B23" s="39"/>
      <c r="C23" s="39"/>
      <c r="D23" s="39"/>
      <c r="E23" s="39"/>
    </row>
    <row r="24" customFormat="false" ht="15.75" hidden="false" customHeight="false" outlineLevel="0" collapsed="false">
      <c r="A24" s="39"/>
      <c r="B24" s="39"/>
      <c r="C24" s="39"/>
      <c r="D24" s="39"/>
      <c r="E24" s="39"/>
    </row>
  </sheetData>
  <mergeCells count="3">
    <mergeCell ref="A1:E2"/>
    <mergeCell ref="E8:E13"/>
    <mergeCell ref="E14:E16"/>
  </mergeCells>
  <hyperlinks>
    <hyperlink ref="E5" r:id="rId1" location="gid=0" display="Mass Budget"/>
    <hyperlink ref="E8" r:id="rId2" display="MDD"/>
    <hyperlink ref="E14" r:id="rId3" display="MD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C7" colorId="64" zoomScale="115" zoomScaleNormal="115" zoomScalePageLayoutView="100" workbookViewId="0">
      <selection pane="topLeft" activeCell="D14" activeCellId="0" sqref="D14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9" width="27.16"/>
    <col collapsed="false" customWidth="true" hidden="false" outlineLevel="0" max="2" min="2" style="9" width="7.66"/>
    <col collapsed="false" customWidth="true" hidden="false" outlineLevel="0" max="3" min="3" style="9" width="7.83"/>
    <col collapsed="false" customWidth="true" hidden="false" outlineLevel="0" max="4" min="4" style="9" width="71"/>
    <col collapsed="false" customWidth="true" hidden="false" outlineLevel="0" max="5" min="5" style="9" width="25"/>
  </cols>
  <sheetData>
    <row r="1" customFormat="false" ht="15.75" hidden="false" customHeight="true" outlineLevel="0" collapsed="false">
      <c r="A1" s="40" t="s">
        <v>44</v>
      </c>
      <c r="B1" s="40"/>
      <c r="C1" s="40"/>
      <c r="D1" s="40"/>
      <c r="E1" s="40"/>
    </row>
    <row r="2" customFormat="false" ht="15.75" hidden="false" customHeight="false" outlineLevel="0" collapsed="false">
      <c r="A2" s="40"/>
      <c r="B2" s="40"/>
      <c r="C2" s="40"/>
      <c r="D2" s="40"/>
      <c r="E2" s="40"/>
    </row>
    <row r="3" customFormat="false" ht="15.75" hidden="false" customHeight="false" outlineLevel="0" collapsed="false">
      <c r="A3" s="41" t="s">
        <v>10</v>
      </c>
      <c r="B3" s="41" t="s">
        <v>11</v>
      </c>
      <c r="C3" s="41" t="s">
        <v>12</v>
      </c>
      <c r="D3" s="41" t="s">
        <v>13</v>
      </c>
      <c r="E3" s="41" t="s">
        <v>14</v>
      </c>
    </row>
    <row r="4" customFormat="false" ht="31.3" hidden="false" customHeight="false" outlineLevel="0" collapsed="false">
      <c r="A4" s="42" t="s">
        <v>45</v>
      </c>
      <c r="B4" s="43" t="n">
        <v>1367</v>
      </c>
      <c r="C4" s="18" t="s">
        <v>46</v>
      </c>
      <c r="D4" s="18" t="s">
        <v>47</v>
      </c>
      <c r="E4" s="44" t="s">
        <v>48</v>
      </c>
    </row>
    <row r="5" customFormat="false" ht="150.7" hidden="false" customHeight="false" outlineLevel="0" collapsed="false">
      <c r="A5" s="45" t="s">
        <v>49</v>
      </c>
      <c r="B5" s="46" t="n">
        <v>76.32</v>
      </c>
      <c r="C5" s="46" t="s">
        <v>50</v>
      </c>
      <c r="D5" s="46" t="s">
        <v>51</v>
      </c>
      <c r="E5" s="47"/>
    </row>
    <row r="6" customFormat="false" ht="31.3" hidden="false" customHeight="false" outlineLevel="0" collapsed="false">
      <c r="A6" s="45" t="s">
        <v>52</v>
      </c>
      <c r="B6" s="46" t="n">
        <v>15.264</v>
      </c>
      <c r="C6" s="46" t="s">
        <v>50</v>
      </c>
      <c r="D6" s="46" t="s">
        <v>53</v>
      </c>
      <c r="E6" s="47" t="s">
        <v>54</v>
      </c>
    </row>
    <row r="7" customFormat="false" ht="31.3" hidden="false" customHeight="false" outlineLevel="0" collapsed="false">
      <c r="A7" s="42" t="s">
        <v>55</v>
      </c>
      <c r="B7" s="18" t="n">
        <v>61.056</v>
      </c>
      <c r="C7" s="18" t="s">
        <v>50</v>
      </c>
      <c r="D7" s="18" t="s">
        <v>56</v>
      </c>
      <c r="E7" s="48" t="s">
        <v>54</v>
      </c>
    </row>
    <row r="8" customFormat="false" ht="92.1" hidden="false" customHeight="false" outlineLevel="0" collapsed="false">
      <c r="A8" s="45" t="s">
        <v>57</v>
      </c>
      <c r="B8" s="46" t="n">
        <f aca="false">(7.3666 - 3.615) * 10560/3600 + 15.264</f>
        <v>26.2686933333333</v>
      </c>
      <c r="C8" s="46" t="s">
        <v>50</v>
      </c>
      <c r="D8" s="46" t="s">
        <v>58</v>
      </c>
      <c r="E8" s="47" t="s">
        <v>59</v>
      </c>
    </row>
    <row r="9" customFormat="false" ht="76.1" hidden="false" customHeight="false" outlineLevel="0" collapsed="false">
      <c r="A9" s="45" t="s">
        <v>60</v>
      </c>
      <c r="B9" s="49" t="n">
        <v>15.63</v>
      </c>
      <c r="C9" s="46" t="s">
        <v>50</v>
      </c>
      <c r="D9" s="46" t="s">
        <v>61</v>
      </c>
      <c r="E9" s="47" t="s">
        <v>59</v>
      </c>
    </row>
    <row r="10" customFormat="false" ht="76.1" hidden="false" customHeight="false" outlineLevel="0" collapsed="false">
      <c r="A10" s="45" t="s">
        <v>62</v>
      </c>
      <c r="B10" s="46" t="n">
        <v>18.08</v>
      </c>
      <c r="C10" s="46" t="s">
        <v>50</v>
      </c>
      <c r="D10" s="46" t="s">
        <v>63</v>
      </c>
      <c r="E10" s="47" t="s">
        <v>59</v>
      </c>
    </row>
    <row r="11" customFormat="false" ht="46.25" hidden="false" customHeight="false" outlineLevel="0" collapsed="false">
      <c r="A11" s="45" t="s">
        <v>64</v>
      </c>
      <c r="B11" s="46" t="n">
        <v>7.23</v>
      </c>
      <c r="C11" s="46" t="s">
        <v>65</v>
      </c>
      <c r="D11" s="46" t="s">
        <v>66</v>
      </c>
      <c r="E11" s="50" t="s">
        <v>67</v>
      </c>
    </row>
    <row r="12" customFormat="false" ht="16.4" hidden="false" customHeight="false" outlineLevel="0" collapsed="false">
      <c r="A12" s="45" t="s">
        <v>68</v>
      </c>
      <c r="B12" s="46" t="n">
        <v>28</v>
      </c>
      <c r="C12" s="46"/>
      <c r="D12" s="46"/>
      <c r="E12" s="47"/>
    </row>
    <row r="13" customFormat="false" ht="16.4" hidden="false" customHeight="false" outlineLevel="0" collapsed="false">
      <c r="A13" s="45" t="s">
        <v>69</v>
      </c>
      <c r="B13" s="46" t="n">
        <v>0.0028355</v>
      </c>
      <c r="C13" s="46" t="s">
        <v>25</v>
      </c>
      <c r="D13" s="46"/>
      <c r="E13" s="51" t="s">
        <v>70</v>
      </c>
    </row>
    <row r="14" customFormat="false" ht="46.25" hidden="false" customHeight="false" outlineLevel="0" collapsed="false">
      <c r="A14" s="45" t="s">
        <v>71</v>
      </c>
      <c r="B14" s="46" t="n">
        <v>0.25</v>
      </c>
      <c r="C14" s="46"/>
      <c r="D14" s="46"/>
      <c r="E14" s="47" t="s">
        <v>72</v>
      </c>
    </row>
    <row r="15" customFormat="false" ht="46.25" hidden="false" customHeight="false" outlineLevel="0" collapsed="false">
      <c r="A15" s="45" t="s">
        <v>73</v>
      </c>
      <c r="B15" s="46" t="n">
        <f aca="false">7.2*6</f>
        <v>43.2</v>
      </c>
      <c r="C15" s="46" t="s">
        <v>50</v>
      </c>
      <c r="D15" s="46" t="s">
        <v>74</v>
      </c>
      <c r="E15" s="47" t="s">
        <v>75</v>
      </c>
    </row>
    <row r="16" customFormat="false" ht="31.1" hidden="false" customHeight="false" outlineLevel="0" collapsed="false">
      <c r="A16" s="45" t="s">
        <v>76</v>
      </c>
      <c r="B16" s="46" t="n">
        <f aca="false">43.2*0.2</f>
        <v>8.64</v>
      </c>
      <c r="C16" s="46" t="s">
        <v>50</v>
      </c>
      <c r="D16" s="46" t="s">
        <v>53</v>
      </c>
      <c r="E16" s="47" t="s">
        <v>54</v>
      </c>
    </row>
    <row r="17" customFormat="false" ht="31.1" hidden="false" customHeight="false" outlineLevel="0" collapsed="false">
      <c r="A17" s="42" t="s">
        <v>77</v>
      </c>
      <c r="B17" s="18" t="n">
        <f aca="false">43.2*0.8</f>
        <v>34.56</v>
      </c>
      <c r="C17" s="18" t="s">
        <v>50</v>
      </c>
      <c r="D17" s="18" t="s">
        <v>56</v>
      </c>
      <c r="E17" s="48" t="s">
        <v>54</v>
      </c>
    </row>
    <row r="18" customFormat="false" ht="19.45" hidden="false" customHeight="true" outlineLevel="0" collapsed="false">
      <c r="A18" s="0"/>
      <c r="B18" s="0"/>
      <c r="C18" s="0"/>
      <c r="D18" s="0"/>
      <c r="E18" s="0"/>
    </row>
  </sheetData>
  <mergeCells count="1">
    <mergeCell ref="A1:E2"/>
  </mergeCells>
  <hyperlinks>
    <hyperlink ref="E4" r:id="rId1" location="v=onepage&amp;q=sollar%20irradiance%20constant%20variation&amp;f=false" display="an introduction to solar radiation"/>
    <hyperlink ref="E13" r:id="rId2" display="semester_projec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I1" colorId="64" zoomScale="150" zoomScaleNormal="150" zoomScalePageLayoutView="100" workbookViewId="0">
      <selection pane="topLeft" activeCell="J12" activeCellId="0" sqref="J1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9" width="13.97"/>
    <col collapsed="false" customWidth="true" hidden="false" outlineLevel="0" max="2" min="2" style="9" width="11.67"/>
    <col collapsed="false" customWidth="true" hidden="false" outlineLevel="0" max="3" min="3" style="9" width="14.16"/>
    <col collapsed="false" customWidth="true" hidden="false" outlineLevel="0" max="4" min="4" style="9" width="13"/>
    <col collapsed="false" customWidth="true" hidden="false" outlineLevel="0" max="5" min="5" style="9" width="6.16"/>
    <col collapsed="false" customWidth="true" hidden="false" outlineLevel="0" max="6" min="6" style="1" width="10"/>
    <col collapsed="false" customWidth="true" hidden="false" outlineLevel="0" max="7" min="7" style="1" width="12.33"/>
    <col collapsed="false" customWidth="true" hidden="false" outlineLevel="0" max="8" min="8" style="1" width="14.35"/>
    <col collapsed="false" customWidth="true" hidden="false" outlineLevel="0" max="9" min="9" style="1" width="13"/>
    <col collapsed="false" customWidth="true" hidden="false" outlineLevel="0" max="10" min="10" style="1" width="13.74"/>
    <col collapsed="false" customWidth="true" hidden="false" outlineLevel="0" max="11" min="11" style="1" width="5.86"/>
    <col collapsed="false" customWidth="true" hidden="false" outlineLevel="0" max="16384" min="16384" style="1" width="9.34"/>
  </cols>
  <sheetData>
    <row r="1" customFormat="false" ht="15.75" hidden="false" customHeight="true" outlineLevel="0" collapsed="false">
      <c r="A1" s="40" t="s">
        <v>78</v>
      </c>
      <c r="B1" s="40"/>
      <c r="C1" s="40"/>
      <c r="D1" s="40"/>
      <c r="E1" s="40"/>
      <c r="F1" s="40"/>
      <c r="G1" s="40"/>
      <c r="H1" s="52" t="s">
        <v>79</v>
      </c>
      <c r="I1" s="53" t="s">
        <v>80</v>
      </c>
    </row>
    <row r="2" customFormat="false" ht="15.75" hidden="false" customHeight="true" outlineLevel="0" collapsed="false">
      <c r="A2" s="40"/>
      <c r="B2" s="40"/>
      <c r="C2" s="40"/>
      <c r="D2" s="40"/>
      <c r="E2" s="40"/>
      <c r="F2" s="40"/>
      <c r="G2" s="40"/>
      <c r="H2" s="52" t="s">
        <v>81</v>
      </c>
      <c r="I2" s="54" t="s">
        <v>82</v>
      </c>
    </row>
    <row r="3" customFormat="false" ht="15.75" hidden="false" customHeight="false" outlineLevel="0" collapsed="false">
      <c r="A3" s="55" t="s">
        <v>83</v>
      </c>
      <c r="B3" s="55" t="s">
        <v>84</v>
      </c>
      <c r="C3" s="55" t="s">
        <v>85</v>
      </c>
      <c r="D3" s="55"/>
      <c r="E3" s="55"/>
      <c r="F3" s="55"/>
      <c r="G3" s="55"/>
      <c r="I3" s="55" t="s">
        <v>86</v>
      </c>
      <c r="J3" s="55"/>
      <c r="K3" s="55"/>
      <c r="L3" s="55"/>
      <c r="M3" s="55"/>
    </row>
    <row r="4" customFormat="false" ht="18.75" hidden="false" customHeight="true" outlineLevel="0" collapsed="false">
      <c r="A4" s="55"/>
      <c r="B4" s="55"/>
      <c r="C4" s="56" t="s">
        <v>87</v>
      </c>
      <c r="D4" s="56" t="s">
        <v>88</v>
      </c>
      <c r="E4" s="56" t="s">
        <v>89</v>
      </c>
      <c r="F4" s="56" t="s">
        <v>90</v>
      </c>
      <c r="G4" s="56" t="s">
        <v>91</v>
      </c>
      <c r="I4" s="56" t="s">
        <v>87</v>
      </c>
      <c r="J4" s="56" t="s">
        <v>88</v>
      </c>
      <c r="K4" s="56" t="s">
        <v>89</v>
      </c>
      <c r="L4" s="56" t="s">
        <v>90</v>
      </c>
      <c r="M4" s="56" t="s">
        <v>91</v>
      </c>
    </row>
    <row r="5" customFormat="false" ht="15.75" hidden="false" customHeight="false" outlineLevel="0" collapsed="false">
      <c r="A5" s="56" t="s">
        <v>92</v>
      </c>
      <c r="B5" s="57" t="n">
        <v>0.05</v>
      </c>
      <c r="C5" s="1" t="n">
        <v>1.52</v>
      </c>
      <c r="D5" s="1" t="n">
        <v>1.52</v>
      </c>
      <c r="E5" s="1" t="n">
        <v>1.52</v>
      </c>
      <c r="F5" s="1" t="n">
        <v>1.52</v>
      </c>
      <c r="G5" s="1" t="n">
        <v>1.52</v>
      </c>
      <c r="I5" s="1" t="n">
        <f aca="false">C5*(1+B5)</f>
        <v>1.596</v>
      </c>
      <c r="J5" s="1" t="n">
        <f aca="false">D5*(1+B5)</f>
        <v>1.596</v>
      </c>
      <c r="K5" s="1" t="n">
        <f aca="false">E5*(1+B5)</f>
        <v>1.596</v>
      </c>
      <c r="L5" s="1" t="n">
        <f aca="false">F5*(1+B5)</f>
        <v>1.596</v>
      </c>
      <c r="M5" s="1" t="n">
        <f aca="false">G5*(1+B5)</f>
        <v>1.596</v>
      </c>
    </row>
    <row r="6" customFormat="false" ht="15.75" hidden="false" customHeight="false" outlineLevel="0" collapsed="false">
      <c r="A6" s="56" t="s">
        <v>93</v>
      </c>
      <c r="B6" s="57" t="n">
        <v>0</v>
      </c>
      <c r="C6" s="1" t="n">
        <v>0</v>
      </c>
      <c r="D6" s="1" t="n">
        <v>1.01</v>
      </c>
      <c r="E6" s="1" t="n">
        <v>0</v>
      </c>
      <c r="F6" s="1" t="n">
        <v>0</v>
      </c>
      <c r="G6" s="1" t="n">
        <v>0</v>
      </c>
      <c r="I6" s="1" t="n">
        <f aca="false">C6*(1+B6)</f>
        <v>0</v>
      </c>
      <c r="J6" s="1" t="n">
        <f aca="false">D6*(1+B6)</f>
        <v>1.01</v>
      </c>
      <c r="K6" s="1" t="n">
        <f aca="false">E6*(1+B6)</f>
        <v>0</v>
      </c>
      <c r="L6" s="1" t="n">
        <f aca="false">F6*(1+B6)</f>
        <v>0</v>
      </c>
      <c r="M6" s="1" t="n">
        <f aca="false">G6*(1+B6)</f>
        <v>0</v>
      </c>
    </row>
    <row r="7" customFormat="false" ht="15.75" hidden="false" customHeight="false" outlineLevel="0" collapsed="false">
      <c r="A7" s="56" t="s">
        <v>94</v>
      </c>
      <c r="B7" s="57" t="n">
        <v>0.2</v>
      </c>
      <c r="C7" s="1" t="n">
        <v>0.2</v>
      </c>
      <c r="D7" s="1" t="n">
        <v>0.2</v>
      </c>
      <c r="E7" s="1" t="n">
        <v>0.2</v>
      </c>
      <c r="F7" s="1" t="n">
        <v>0.2</v>
      </c>
      <c r="G7" s="1" t="n">
        <v>0.2</v>
      </c>
      <c r="I7" s="1" t="n">
        <f aca="false">C7*(1+B7)</f>
        <v>0.24</v>
      </c>
      <c r="J7" s="1" t="n">
        <f aca="false">D7*(1+B7)</f>
        <v>0.24</v>
      </c>
      <c r="K7" s="1" t="n">
        <f aca="false">E7*(1+B7)</f>
        <v>0.24</v>
      </c>
      <c r="L7" s="1" t="n">
        <f aca="false">F7*(1+B7)</f>
        <v>0.24</v>
      </c>
      <c r="M7" s="1" t="n">
        <f aca="false">G7*(1+B7)</f>
        <v>0.24</v>
      </c>
    </row>
    <row r="8" customFormat="false" ht="15.75" hidden="false" customHeight="false" outlineLevel="0" collapsed="false">
      <c r="A8" s="56" t="s">
        <v>95</v>
      </c>
      <c r="B8" s="57" t="n">
        <v>0.1</v>
      </c>
      <c r="C8" s="1" t="n">
        <v>0.556</v>
      </c>
      <c r="D8" s="1" t="n">
        <v>0.556</v>
      </c>
      <c r="E8" s="1" t="n">
        <v>0</v>
      </c>
      <c r="F8" s="1" t="n">
        <v>0.556</v>
      </c>
      <c r="G8" s="1" t="n">
        <v>0.556</v>
      </c>
      <c r="H8" s="54"/>
      <c r="I8" s="1" t="n">
        <f aca="false">C8*(1+B8)</f>
        <v>0.6116</v>
      </c>
      <c r="J8" s="1" t="n">
        <f aca="false">D8*(1+B8)</f>
        <v>0.6116</v>
      </c>
      <c r="K8" s="1" t="n">
        <f aca="false">E8*(1+B8)</f>
        <v>0</v>
      </c>
      <c r="L8" s="1" t="n">
        <f aca="false">F8*(1+B8)</f>
        <v>0.6116</v>
      </c>
      <c r="M8" s="1" t="n">
        <f aca="false">G8*(1+B8)</f>
        <v>0.6116</v>
      </c>
    </row>
    <row r="9" customFormat="false" ht="15.75" hidden="false" customHeight="false" outlineLevel="0" collapsed="false">
      <c r="A9" s="56" t="s">
        <v>96</v>
      </c>
      <c r="B9" s="57" t="n">
        <v>0.2</v>
      </c>
      <c r="C9" s="1" t="n">
        <v>1.42</v>
      </c>
      <c r="D9" s="1" t="n">
        <v>1.42</v>
      </c>
      <c r="E9" s="1" t="n">
        <v>1.42</v>
      </c>
      <c r="F9" s="1" t="n">
        <v>1.42</v>
      </c>
      <c r="G9" s="1" t="n">
        <v>1.42</v>
      </c>
      <c r="H9" s="54"/>
      <c r="I9" s="1" t="n">
        <f aca="false">C9*(1+B9)</f>
        <v>1.704</v>
      </c>
      <c r="J9" s="1" t="n">
        <f aca="false">D9*(1+B9)</f>
        <v>1.704</v>
      </c>
      <c r="K9" s="1" t="n">
        <f aca="false">E9*(1+B9)</f>
        <v>1.704</v>
      </c>
      <c r="L9" s="1" t="n">
        <f aca="false">F9*(1+B9)</f>
        <v>1.704</v>
      </c>
      <c r="M9" s="1" t="n">
        <f aca="false">G9*(1+B9)</f>
        <v>1.704</v>
      </c>
    </row>
    <row r="10" customFormat="false" ht="15.75" hidden="false" customHeight="false" outlineLevel="0" collapsed="false">
      <c r="A10" s="56" t="s">
        <v>97</v>
      </c>
      <c r="B10" s="57" t="n">
        <v>0.05</v>
      </c>
      <c r="C10" s="1" t="n">
        <v>0</v>
      </c>
      <c r="D10" s="1" t="n">
        <v>2.1</v>
      </c>
      <c r="E10" s="1" t="n">
        <v>2</v>
      </c>
      <c r="F10" s="1" t="n">
        <v>2</v>
      </c>
      <c r="G10" s="1" t="n">
        <v>2</v>
      </c>
      <c r="H10" s="54"/>
      <c r="I10" s="1" t="n">
        <f aca="false">C10*(1+B10)</f>
        <v>0</v>
      </c>
      <c r="J10" s="1" t="n">
        <f aca="false">D10*(1+B10)</f>
        <v>2.205</v>
      </c>
      <c r="K10" s="1" t="n">
        <f aca="false">E10*(1+B10)</f>
        <v>2.1</v>
      </c>
      <c r="L10" s="1" t="n">
        <f aca="false">F10*(1+B10)</f>
        <v>2.1</v>
      </c>
      <c r="M10" s="1" t="n">
        <f aca="false">G10*(1+B10)</f>
        <v>2.1</v>
      </c>
    </row>
    <row r="11" customFormat="false" ht="15.75" hidden="false" customHeight="false" outlineLevel="0" collapsed="false">
      <c r="A11" s="56" t="s">
        <v>98</v>
      </c>
      <c r="B11" s="57" t="n">
        <v>0.2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14.7</v>
      </c>
      <c r="H11" s="54"/>
      <c r="I11" s="1" t="n">
        <f aca="false">C11*(1+B11)</f>
        <v>0</v>
      </c>
      <c r="J11" s="1" t="n">
        <f aca="false">D11*(1+B11)</f>
        <v>0</v>
      </c>
      <c r="K11" s="1" t="n">
        <f aca="false">E11*(1+B11)</f>
        <v>0</v>
      </c>
      <c r="L11" s="1" t="n">
        <f aca="false">F11*(1+B11)</f>
        <v>0</v>
      </c>
      <c r="M11" s="1" t="n">
        <f aca="false">G11*(1+B11)</f>
        <v>17.64</v>
      </c>
    </row>
    <row r="12" customFormat="false" ht="15.75" hidden="false" customHeight="false" outlineLevel="0" collapsed="false">
      <c r="A12" s="58" t="s">
        <v>99</v>
      </c>
      <c r="B12" s="58"/>
      <c r="C12" s="1" t="n">
        <f aca="false">SUM(C5:C11)</f>
        <v>3.696</v>
      </c>
      <c r="D12" s="1" t="n">
        <f aca="false">SUM(D5:D11)</f>
        <v>6.806</v>
      </c>
      <c r="E12" s="1" t="n">
        <f aca="false">SUM(E5:E11)</f>
        <v>5.14</v>
      </c>
      <c r="F12" s="1" t="n">
        <f aca="false">SUM(F5:F11)</f>
        <v>5.696</v>
      </c>
      <c r="G12" s="1" t="n">
        <f aca="false">SUM(G5:G11)</f>
        <v>20.396</v>
      </c>
      <c r="I12" s="1" t="n">
        <f aca="false">SUM(I5:I11)</f>
        <v>4.1516</v>
      </c>
      <c r="J12" s="1" t="n">
        <f aca="false">SUM(J5:J11)</f>
        <v>7.3666</v>
      </c>
      <c r="K12" s="1" t="n">
        <f aca="false">SUM(K5:K11)</f>
        <v>5.64</v>
      </c>
      <c r="L12" s="1" t="n">
        <f aca="false">SUM(L5:L11)</f>
        <v>6.2516</v>
      </c>
      <c r="M12" s="1" t="n">
        <f aca="false">SUM(M5:M11)</f>
        <v>23.8916</v>
      </c>
    </row>
    <row r="13" customFormat="false" ht="15.75" hidden="false" customHeight="false" outlineLevel="0" collapsed="false">
      <c r="A13" s="54"/>
      <c r="B13" s="54"/>
      <c r="C13" s="1"/>
      <c r="D13" s="1"/>
      <c r="E13" s="1"/>
      <c r="H13" s="54"/>
    </row>
    <row r="14" customFormat="false" ht="23.35" hidden="false" customHeight="true" outlineLevel="0" collapsed="false">
      <c r="A14" s="1" t="s">
        <v>100</v>
      </c>
      <c r="B14" s="1"/>
      <c r="C14" s="1"/>
      <c r="D14" s="1"/>
      <c r="E14" s="1"/>
    </row>
    <row r="15" customFormat="false" ht="15.75" hidden="false" customHeight="false" outlineLevel="0" collapsed="false">
      <c r="A15" s="1"/>
      <c r="B15" s="1"/>
      <c r="C15" s="1"/>
      <c r="D15" s="1"/>
      <c r="E15" s="1"/>
    </row>
    <row r="16" customFormat="false" ht="15.75" hidden="false" customHeight="false" outlineLevel="0" collapsed="false">
      <c r="A16" s="1"/>
      <c r="B16" s="1"/>
      <c r="C16" s="1"/>
      <c r="D16" s="1"/>
      <c r="E16" s="1"/>
    </row>
    <row r="17" customFormat="false" ht="15.75" hidden="false" customHeight="false" outlineLevel="0" collapsed="false">
      <c r="A17" s="1"/>
      <c r="B17" s="59"/>
      <c r="C17" s="1"/>
      <c r="D17" s="1"/>
      <c r="E17" s="1"/>
    </row>
    <row r="18" customFormat="false" ht="18.4" hidden="false" customHeight="true" outlineLevel="0" collapsed="false">
      <c r="A18" s="1"/>
      <c r="B18" s="1"/>
      <c r="C18" s="1"/>
      <c r="D18" s="1"/>
      <c r="E18" s="1"/>
    </row>
    <row r="19" customFormat="false" ht="15.75" hidden="false" customHeight="false" outlineLevel="0" collapsed="false">
      <c r="A19" s="1"/>
      <c r="B19" s="1"/>
      <c r="C19" s="1"/>
      <c r="D19" s="1"/>
      <c r="E19" s="1"/>
    </row>
    <row r="20" customFormat="false" ht="15.75" hidden="false" customHeight="false" outlineLevel="0" collapsed="false">
      <c r="A20" s="1"/>
      <c r="B20" s="1"/>
      <c r="C20" s="1"/>
      <c r="D20" s="1"/>
      <c r="E20" s="1"/>
    </row>
    <row r="21" customFormat="false" ht="15.75" hidden="false" customHeight="false" outlineLevel="0" collapsed="false">
      <c r="A21" s="1"/>
      <c r="B21" s="1"/>
      <c r="C21" s="1"/>
      <c r="D21" s="1"/>
      <c r="E21" s="1"/>
    </row>
    <row r="22" customFormat="false" ht="15.75" hidden="false" customHeight="false" outlineLevel="0" collapsed="false">
      <c r="A22" s="1"/>
      <c r="B22" s="1"/>
      <c r="C22" s="1"/>
      <c r="D22" s="1"/>
      <c r="E22" s="1"/>
    </row>
    <row r="23" customFormat="false" ht="15.75" hidden="false" customHeight="false" outlineLevel="0" collapsed="false">
      <c r="A23" s="1"/>
      <c r="B23" s="1"/>
      <c r="C23" s="1"/>
      <c r="D23" s="1"/>
      <c r="E23" s="1"/>
    </row>
    <row r="24" customFormat="false" ht="15.75" hidden="false" customHeight="false" outlineLevel="0" collapsed="false">
      <c r="A24" s="1"/>
      <c r="B24" s="1"/>
      <c r="C24" s="1"/>
      <c r="D24" s="1"/>
      <c r="E24" s="1"/>
    </row>
    <row r="25" customFormat="false" ht="15.75" hidden="false" customHeight="false" outlineLevel="0" collapsed="false">
      <c r="A25" s="1"/>
      <c r="B25" s="1"/>
      <c r="C25" s="1"/>
      <c r="D25" s="1"/>
      <c r="E25" s="1"/>
    </row>
  </sheetData>
  <mergeCells count="6">
    <mergeCell ref="A1:G2"/>
    <mergeCell ref="A3:A4"/>
    <mergeCell ref="B3:B4"/>
    <mergeCell ref="C3:G3"/>
    <mergeCell ref="I3:M3"/>
    <mergeCell ref="A12:B12"/>
  </mergeCells>
  <hyperlinks>
    <hyperlink ref="I1" r:id="rId1" location="gid=640536346" display="Power Budget"/>
    <hyperlink ref="I2" r:id="rId2" display="SE_DS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3" colorId="64" zoomScale="125" zoomScaleNormal="125" zoomScalePageLayoutView="100" workbookViewId="0">
      <selection pane="topLeft" activeCell="F18" activeCellId="0" sqref="F1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9" width="32.66"/>
    <col collapsed="false" customWidth="true" hidden="false" outlineLevel="0" max="2" min="2" style="9" width="11.33"/>
    <col collapsed="false" customWidth="true" hidden="false" outlineLevel="0" max="3" min="3" style="9" width="7.83"/>
    <col collapsed="false" customWidth="true" hidden="false" outlineLevel="0" max="4" min="4" style="9" width="71"/>
    <col collapsed="false" customWidth="true" hidden="false" outlineLevel="0" max="5" min="5" style="9" width="25"/>
  </cols>
  <sheetData>
    <row r="1" customFormat="false" ht="15.75" hidden="false" customHeight="true" outlineLevel="0" collapsed="false">
      <c r="A1" s="40" t="s">
        <v>101</v>
      </c>
      <c r="B1" s="40"/>
      <c r="C1" s="40"/>
      <c r="D1" s="40"/>
      <c r="E1" s="40"/>
    </row>
    <row r="2" customFormat="false" ht="15.75" hidden="false" customHeight="false" outlineLevel="0" collapsed="false">
      <c r="A2" s="40"/>
      <c r="B2" s="40"/>
      <c r="C2" s="40"/>
      <c r="D2" s="40"/>
      <c r="E2" s="40"/>
    </row>
    <row r="3" customFormat="false" ht="15.75" hidden="false" customHeight="false" outlineLevel="0" collapsed="false">
      <c r="A3" s="41" t="s">
        <v>10</v>
      </c>
      <c r="B3" s="41" t="s">
        <v>11</v>
      </c>
      <c r="C3" s="41" t="s">
        <v>12</v>
      </c>
      <c r="D3" s="41" t="s">
        <v>13</v>
      </c>
      <c r="E3" s="41" t="s">
        <v>14</v>
      </c>
    </row>
    <row r="4" customFormat="false" ht="49.5" hidden="false" customHeight="true" outlineLevel="0" collapsed="false">
      <c r="A4" s="15" t="s">
        <v>102</v>
      </c>
      <c r="B4" s="60" t="n">
        <v>0.111</v>
      </c>
      <c r="C4" s="61" t="s">
        <v>103</v>
      </c>
      <c r="D4" s="61" t="s">
        <v>104</v>
      </c>
      <c r="E4" s="62" t="s">
        <v>80</v>
      </c>
    </row>
    <row r="5" customFormat="false" ht="15.75" hidden="false" customHeight="false" outlineLevel="0" collapsed="false">
      <c r="A5" s="15"/>
      <c r="B5" s="60"/>
      <c r="C5" s="61"/>
      <c r="D5" s="61"/>
      <c r="E5" s="44" t="s">
        <v>82</v>
      </c>
    </row>
    <row r="6" customFormat="false" ht="46.25" hidden="false" customHeight="false" outlineLevel="0" collapsed="false">
      <c r="A6" s="45" t="s">
        <v>105</v>
      </c>
      <c r="B6" s="46" t="n">
        <v>0.0065</v>
      </c>
      <c r="C6" s="46" t="s">
        <v>103</v>
      </c>
      <c r="D6" s="46" t="s">
        <v>106</v>
      </c>
      <c r="E6" s="51" t="s">
        <v>82</v>
      </c>
    </row>
    <row r="7" customFormat="false" ht="31.3" hidden="false" customHeight="false" outlineLevel="0" collapsed="false">
      <c r="A7" s="42" t="s">
        <v>107</v>
      </c>
      <c r="B7" s="18" t="n">
        <v>6.67E-005</v>
      </c>
      <c r="C7" s="18" t="s">
        <v>103</v>
      </c>
      <c r="D7" s="18" t="s">
        <v>108</v>
      </c>
      <c r="E7" s="51" t="s">
        <v>82</v>
      </c>
    </row>
    <row r="8" customFormat="false" ht="16.4" hidden="false" customHeight="false" outlineLevel="0" collapsed="false">
      <c r="A8" s="45" t="s">
        <v>109</v>
      </c>
      <c r="B8" s="46" t="n">
        <v>2097152</v>
      </c>
      <c r="C8" s="46" t="s">
        <v>110</v>
      </c>
      <c r="D8" s="46" t="s">
        <v>111</v>
      </c>
      <c r="E8" s="51" t="s">
        <v>112</v>
      </c>
    </row>
    <row r="9" customFormat="false" ht="16.4" hidden="false" customHeight="false" outlineLevel="0" collapsed="false">
      <c r="A9" s="45" t="s">
        <v>113</v>
      </c>
      <c r="B9" s="49" t="n">
        <v>0.0192</v>
      </c>
      <c r="C9" s="46" t="s">
        <v>103</v>
      </c>
      <c r="D9" s="46" t="s">
        <v>114</v>
      </c>
      <c r="E9" s="51" t="s">
        <v>112</v>
      </c>
    </row>
    <row r="10" customFormat="false" ht="16.4" hidden="false" customHeight="false" outlineLevel="0" collapsed="false">
      <c r="A10" s="45" t="s">
        <v>115</v>
      </c>
      <c r="B10" s="46" t="n">
        <v>10</v>
      </c>
      <c r="C10" s="46" t="s">
        <v>103</v>
      </c>
      <c r="D10" s="46"/>
      <c r="E10" s="51" t="s">
        <v>112</v>
      </c>
    </row>
    <row r="11" customFormat="false" ht="31.3" hidden="false" customHeight="false" outlineLevel="0" collapsed="false">
      <c r="A11" s="45" t="s">
        <v>116</v>
      </c>
      <c r="B11" s="46" t="n">
        <v>500</v>
      </c>
      <c r="C11" s="46" t="s">
        <v>117</v>
      </c>
      <c r="D11" s="46" t="s">
        <v>118</v>
      </c>
      <c r="E11" s="50"/>
    </row>
    <row r="12" customFormat="false" ht="16.4" hidden="false" customHeight="false" outlineLevel="0" collapsed="false">
      <c r="A12" s="45" t="s">
        <v>119</v>
      </c>
      <c r="B12" s="46" t="n">
        <v>10560</v>
      </c>
      <c r="C12" s="46" t="s">
        <v>117</v>
      </c>
      <c r="D12" s="46" t="s">
        <v>120</v>
      </c>
      <c r="E12" s="51" t="s">
        <v>80</v>
      </c>
    </row>
    <row r="13" customFormat="false" ht="16.4" hidden="false" customHeight="false" outlineLevel="0" collapsed="false">
      <c r="A13" s="45" t="s">
        <v>121</v>
      </c>
      <c r="B13" s="46" t="n">
        <v>1500</v>
      </c>
      <c r="C13" s="46" t="s">
        <v>117</v>
      </c>
      <c r="D13" s="18" t="s">
        <v>122</v>
      </c>
      <c r="E13" s="51" t="s">
        <v>80</v>
      </c>
    </row>
    <row r="14" customFormat="false" ht="16.4" hidden="false" customHeight="false" outlineLevel="0" collapsed="false">
      <c r="A14" s="45" t="s">
        <v>123</v>
      </c>
      <c r="B14" s="46" t="n">
        <v>1860</v>
      </c>
      <c r="C14" s="46" t="s">
        <v>117</v>
      </c>
      <c r="D14" s="46" t="s">
        <v>124</v>
      </c>
      <c r="E14" s="51" t="s">
        <v>80</v>
      </c>
    </row>
    <row r="15" customFormat="false" ht="31.3" hidden="false" customHeight="false" outlineLevel="0" collapsed="false">
      <c r="A15" s="45" t="s">
        <v>125</v>
      </c>
      <c r="B15" s="46" t="n">
        <v>7200</v>
      </c>
      <c r="C15" s="46" t="s">
        <v>117</v>
      </c>
      <c r="D15" s="46" t="s">
        <v>126</v>
      </c>
      <c r="E15" s="51" t="s">
        <v>80</v>
      </c>
    </row>
    <row r="16" customFormat="false" ht="31.3" hidden="false" customHeight="false" outlineLevel="0" collapsed="false">
      <c r="A16" s="45" t="s">
        <v>127</v>
      </c>
      <c r="B16" s="46" t="n">
        <v>15</v>
      </c>
      <c r="C16" s="46" t="s">
        <v>35</v>
      </c>
      <c r="D16" s="46" t="s">
        <v>128</v>
      </c>
      <c r="E16" s="50" t="s">
        <v>129</v>
      </c>
    </row>
    <row r="17" customFormat="false" ht="31.3" hidden="false" customHeight="false" outlineLevel="0" collapsed="false">
      <c r="A17" s="63" t="s">
        <v>130</v>
      </c>
      <c r="B17" s="64" t="n">
        <v>1</v>
      </c>
      <c r="C17" s="64" t="s">
        <v>131</v>
      </c>
      <c r="D17" s="64" t="s">
        <v>132</v>
      </c>
      <c r="E17" s="65" t="s">
        <v>133</v>
      </c>
    </row>
    <row r="18" customFormat="false" ht="67.15" hidden="false" customHeight="false" outlineLevel="0" collapsed="false">
      <c r="A18" s="9" t="s">
        <v>134</v>
      </c>
      <c r="B18" s="9" t="n">
        <f aca="false">200/60/10/1000</f>
        <v>0.000333333333333333</v>
      </c>
      <c r="C18" s="9" t="s">
        <v>103</v>
      </c>
      <c r="D18" s="9" t="s">
        <v>135</v>
      </c>
      <c r="E18" s="9" t="s">
        <v>136</v>
      </c>
    </row>
  </sheetData>
  <mergeCells count="5">
    <mergeCell ref="A1:E2"/>
    <mergeCell ref="A4:A5"/>
    <mergeCell ref="B4:B5"/>
    <mergeCell ref="C4:C5"/>
    <mergeCell ref="D4:D5"/>
  </mergeCells>
  <hyperlinks>
    <hyperlink ref="E4" r:id="rId1" display="Power Budget"/>
    <hyperlink ref="E5" r:id="rId2" display="SE_DSD"/>
    <hyperlink ref="E6" r:id="rId3" display="SE_DSD"/>
    <hyperlink ref="E7" r:id="rId4" display="SE_DSD"/>
    <hyperlink ref="E8" r:id="rId5" location="b861ed" display="MOP"/>
    <hyperlink ref="E9" r:id="rId6" location="b861ed" display="MOP"/>
    <hyperlink ref="E10" r:id="rId7" location="b861ed" display="MOP"/>
    <hyperlink ref="E12" r:id="rId8" display="Power Budget"/>
    <hyperlink ref="E13" r:id="rId9" display="Power Budget"/>
    <hyperlink ref="E14" r:id="rId10" display="Power Budget"/>
    <hyperlink ref="E15" r:id="rId11" display="Power Budg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2" activeCellId="0" sqref="B1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9.33"/>
    <col collapsed="false" customWidth="true" hidden="false" outlineLevel="0" max="3" min="3" style="1" width="36.33"/>
  </cols>
  <sheetData>
    <row r="1" customFormat="false" ht="26.8" hidden="false" customHeight="false" outlineLevel="0" collapsed="false">
      <c r="A1" s="66" t="s">
        <v>137</v>
      </c>
      <c r="B1" s="66"/>
      <c r="C1" s="66"/>
    </row>
    <row r="2" customFormat="false" ht="17.9" hidden="false" customHeight="false" outlineLevel="0" collapsed="false">
      <c r="A2" s="55" t="s">
        <v>138</v>
      </c>
      <c r="B2" s="58" t="s">
        <v>137</v>
      </c>
      <c r="C2" s="56" t="s">
        <v>13</v>
      </c>
      <c r="D2" s="67" t="s">
        <v>139</v>
      </c>
      <c r="E2" s="68" t="s">
        <v>112</v>
      </c>
      <c r="F2" s="67"/>
      <c r="G2" s="67"/>
      <c r="H2" s="67"/>
    </row>
    <row r="3" customFormat="false" ht="61.15" hidden="false" customHeight="false" outlineLevel="0" collapsed="false">
      <c r="A3" s="69" t="s">
        <v>22</v>
      </c>
      <c r="B3" s="70" t="s">
        <v>140</v>
      </c>
      <c r="C3" s="50" t="s">
        <v>141</v>
      </c>
      <c r="D3" s="71"/>
      <c r="E3" s="67"/>
      <c r="F3" s="67"/>
      <c r="G3" s="67"/>
      <c r="H3" s="67"/>
    </row>
    <row r="4" customFormat="false" ht="15.75" hidden="false" customHeight="false" outlineLevel="0" collapsed="false">
      <c r="A4" s="69" t="s">
        <v>89</v>
      </c>
      <c r="B4" s="70" t="s">
        <v>142</v>
      </c>
      <c r="C4" s="50" t="s">
        <v>143</v>
      </c>
      <c r="D4" s="67"/>
      <c r="E4" s="72"/>
      <c r="F4" s="67"/>
      <c r="G4" s="67"/>
      <c r="H4" s="67"/>
    </row>
    <row r="5" customFormat="false" ht="15.75" hidden="false" customHeight="false" outlineLevel="0" collapsed="false">
      <c r="A5" s="69" t="s">
        <v>144</v>
      </c>
      <c r="B5" s="70" t="s">
        <v>142</v>
      </c>
      <c r="C5" s="50" t="s">
        <v>143</v>
      </c>
      <c r="D5" s="67"/>
      <c r="E5" s="67"/>
      <c r="F5" s="67"/>
      <c r="G5" s="67"/>
      <c r="H5" s="67"/>
    </row>
    <row r="6" customFormat="false" ht="31.3" hidden="false" customHeight="false" outlineLevel="0" collapsed="false">
      <c r="A6" s="69" t="s">
        <v>90</v>
      </c>
      <c r="B6" s="70" t="s">
        <v>145</v>
      </c>
      <c r="C6" s="50" t="s">
        <v>146</v>
      </c>
      <c r="D6" s="67"/>
      <c r="E6" s="67"/>
      <c r="F6" s="67"/>
      <c r="G6" s="67"/>
      <c r="H6" s="67"/>
    </row>
    <row r="7" customFormat="false" ht="15.75" hidden="false" customHeight="false" outlineLevel="0" collapsed="false">
      <c r="A7" s="69" t="s">
        <v>91</v>
      </c>
      <c r="B7" s="70" t="s">
        <v>147</v>
      </c>
      <c r="C7" s="73" t="s">
        <v>148</v>
      </c>
      <c r="D7" s="67"/>
      <c r="E7" s="67"/>
      <c r="F7" s="67"/>
      <c r="G7" s="67"/>
      <c r="H7" s="67"/>
    </row>
    <row r="8" customFormat="false" ht="15.75" hidden="false" customHeight="false" outlineLevel="0" collapsed="false">
      <c r="A8" s="69" t="s">
        <v>149</v>
      </c>
      <c r="B8" s="74" t="s">
        <v>150</v>
      </c>
      <c r="C8" s="75" t="s">
        <v>151</v>
      </c>
      <c r="D8" s="76"/>
    </row>
    <row r="9" customFormat="false" ht="15.75" hidden="false" customHeight="false" outlineLevel="0" collapsed="false">
      <c r="A9" s="8"/>
      <c r="B9" s="8"/>
      <c r="C9" s="8"/>
      <c r="D9" s="77" t="s">
        <v>152</v>
      </c>
    </row>
    <row r="22" customFormat="false" ht="15.75" hidden="false" customHeight="false" outlineLevel="0" collapsed="false">
      <c r="D22" s="78"/>
    </row>
  </sheetData>
  <mergeCells count="1">
    <mergeCell ref="A1:C1"/>
  </mergeCells>
  <hyperlinks>
    <hyperlink ref="E2" r:id="rId1" display="MO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2024-11-15T08:57:55Z</dcterms:created>
  <dc:creator>Mathilde SIMONI</dc:creator>
  <dc:description/>
  <dc:language>en-US</dc:language>
  <cp:lastModifiedBy/>
  <dcterms:modified xsi:type="dcterms:W3CDTF">2025-10-29T15:00:30Z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